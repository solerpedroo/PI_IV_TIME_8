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W2H - GUT" sheetId="1" state="visible" r:id="rId3"/>
  </sheets>
  <definedNames>
    <definedName function="false" hidden="true" localSheetId="0" name="_xlnm._FilterDatabase" vbProcedure="false">'5W2H - GUT'!$A$4:$L$33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<sst xmlns="http://schemas.openxmlformats.org/spreadsheetml/2006/main" count="265" uniqueCount="164">
  <si>
    <t xml:space="preserve">Ferramenta 5W2H com priorização GUT</t>
  </si>
  <si>
    <t xml:space="preserve">5w</t>
  </si>
  <si>
    <t xml:space="preserve">2H</t>
  </si>
  <si>
    <t xml:space="preserve">Status</t>
  </si>
  <si>
    <t xml:space="preserve">Priorização</t>
  </si>
  <si>
    <t xml:space="preserve">What?</t>
  </si>
  <si>
    <t xml:space="preserve">Why?</t>
  </si>
  <si>
    <t xml:space="preserve">Where?</t>
  </si>
  <si>
    <t xml:space="preserve">Who?</t>
  </si>
  <si>
    <t xml:space="preserve">When?</t>
  </si>
  <si>
    <t xml:space="preserve">How?</t>
  </si>
  <si>
    <t xml:space="preserve">How much?</t>
  </si>
  <si>
    <t xml:space="preserve">O que?</t>
  </si>
  <si>
    <t xml:space="preserve">Por que?</t>
  </si>
  <si>
    <t xml:space="preserve">Onde?</t>
  </si>
  <si>
    <t xml:space="preserve">Quem?</t>
  </si>
  <si>
    <t xml:space="preserve">Quando?</t>
  </si>
  <si>
    <t xml:space="preserve">Como?</t>
  </si>
  <si>
    <t xml:space="preserve">Quanto?</t>
  </si>
  <si>
    <t xml:space="preserve">Situação</t>
  </si>
  <si>
    <t xml:space="preserve">G</t>
  </si>
  <si>
    <t xml:space="preserve">U</t>
  </si>
  <si>
    <t xml:space="preserve">T</t>
  </si>
  <si>
    <t xml:space="preserve">GUT</t>
  </si>
  <si>
    <t xml:space="preserve">Planejamento e arquitetura</t>
  </si>
  <si>
    <t xml:space="preserve">Alinhar escopo, papéis e decisões técnicas antes de começar a codificar, evitando retrabalho.</t>
  </si>
  <si>
    <t xml:space="preserve">Reunião da equipe / documentação do projeto</t>
  </si>
  <si>
    <t xml:space="preserve">Toda a equipe (condução: líder técnico)</t>
  </si>
  <si>
    <t xml:space="preserve">S1 (28/09 a 04/10)</t>
  </si>
  <si>
    <t xml:space="preserve">Reunião de kickoff: divisão de papéis, definição da arquitetura (front em HTML/CSS, camada Node.js + TypeScript e servidor Java com MongoDB) e do fluxo de trabalho.</t>
  </si>
  <si>
    <t xml:space="preserve">≈ 6 h (equipe)</t>
  </si>
  <si>
    <t xml:space="preserve">A iniciar</t>
  </si>
  <si>
    <t xml:space="preserve">Setup de ambiente e repositório</t>
  </si>
  <si>
    <t xml:space="preserve">Padronizar o ambiente para que os 5 integrantes trabalhem em paralelo sem conflito.</t>
  </si>
  <si>
    <t xml:space="preserve">Repositório (GitHub) e ambientes de dev/homologação</t>
  </si>
  <si>
    <t xml:space="preserve">Líder técnico + Dev Back 1</t>
  </si>
  <si>
    <t xml:space="preserve">Criação do repositório, estrutura de pastas das três frentes (site HTML/CSS, projeto Node/TypeScript e projeto Java), branches, padrões de código, instância do MongoDB e ambientes.</t>
  </si>
  <si>
    <t xml:space="preserve">≈ 8 h</t>
  </si>
  <si>
    <t xml:space="preserve">Prototipação e UI/UX</t>
  </si>
  <si>
    <t xml:space="preserve">Validar navegação e telas antes do desenvolvimento, reduzindo mudanças na fase de código.</t>
  </si>
  <si>
    <t xml:space="preserve">Ferramenta de prototipação (Figma)</t>
  </si>
  <si>
    <t xml:space="preserve">Dev Front 1 + Dev Front 2</t>
  </si>
  <si>
    <t xml:space="preserve">Wireframes e protótipo navegável seguindo a hierarquia Propriedade &gt; Talhão &gt; Safra.</t>
  </si>
  <si>
    <t xml:space="preserve">≈ 12 h</t>
  </si>
  <si>
    <t xml:space="preserve">Modelagem do banco de dados</t>
  </si>
  <si>
    <t xml:space="preserve">O modelo de dados é a base de todos os módulos do backend; erros aqui contaminam o projeto inteiro.</t>
  </si>
  <si>
    <t xml:space="preserve">MongoDB (banco do servidor Java)</t>
  </si>
  <si>
    <t xml:space="preserve">Dev Back 1 + Dev Back 2</t>
  </si>
  <si>
    <t xml:space="preserve">Definição das coleções e documentos do MongoDB (propriedades, talhões, safras, atividades), decidindo o que fica embutido e o que fica por referência.</t>
  </si>
  <si>
    <t xml:space="preserve">Login - Frontend</t>
  </si>
  <si>
    <t xml:space="preserve">Controlar o acesso ao sistema e separar os dados de cada produtor.</t>
  </si>
  <si>
    <t xml:space="preserve">Front-end web (HTML, CSS e JS)</t>
  </si>
  <si>
    <t xml:space="preserve">Dev Front 1</t>
  </si>
  <si>
    <t xml:space="preserve">S2 (05/10 a 11/10)</t>
  </si>
  <si>
    <t xml:space="preserve">Tela de autenticação com validação de campos e integração com o fluxo de acesso.</t>
  </si>
  <si>
    <t xml:space="preserve">≈ 6 h</t>
  </si>
  <si>
    <t xml:space="preserve">Dashboard - Layout inicial</t>
  </si>
  <si>
    <t xml:space="preserve">O painel é a porta de entrada do sistema e concentra os indicadores de gestão da propriedade.</t>
  </si>
  <si>
    <t xml:space="preserve">Dev Front 2</t>
  </si>
  <si>
    <t xml:space="preserve">Estrutura visual dos blocos (atividades, estoque, ocorrências, financeiro e produção) com dados simulados.</t>
  </si>
  <si>
    <t xml:space="preserve">≈ 10 h</t>
  </si>
  <si>
    <t xml:space="preserve">Propriedades - Frontend</t>
  </si>
  <si>
    <t xml:space="preserve">É o primeiro nível da hierarquia do sistema; sem ele nenhum outro cadastro existe.</t>
  </si>
  <si>
    <t xml:space="preserve">Telas de cadastro e listagem de propriedades (nome, localização, área) com dados simulados.</t>
  </si>
  <si>
    <t xml:space="preserve">Talhões - Frontend</t>
  </si>
  <si>
    <t xml:space="preserve">O talhão é a unidade de manejo usada por todos os demais módulos (safra, atividade, custo).</t>
  </si>
  <si>
    <t xml:space="preserve">S2 e S3 (05/10 a 18/10)</t>
  </si>
  <si>
    <t xml:space="preserve">Cadastro de talhões vinculados à propriedade, com cultura, safra e status.</t>
  </si>
  <si>
    <t xml:space="preserve">Safras e culturas - Frontend</t>
  </si>
  <si>
    <t xml:space="preserve">Organiza o ciclo produtivo, que é o eixo do acompanhamento da lavoura.</t>
  </si>
  <si>
    <t xml:space="preserve">S3 (12/10 a 18/10)</t>
  </si>
  <si>
    <t xml:space="preserve">Ciclo visual: planejamento, preparação, plantio, manejo, colheita e finalização.</t>
  </si>
  <si>
    <t xml:space="preserve">Atividades - Frontend</t>
  </si>
  <si>
    <t xml:space="preserve">Permite ao produtor planejar e registrar o que foi feito em cada talhão.</t>
  </si>
  <si>
    <t xml:space="preserve">Telas de agendamento de atividades (plantio, irrigação, adubação, colheita) e controle de status.</t>
  </si>
  <si>
    <t xml:space="preserve">Estoque - Frontend</t>
  </si>
  <si>
    <t xml:space="preserve">Controlar insumos evita falta de material em momentos críticos do ciclo.</t>
  </si>
  <si>
    <t xml:space="preserve">S3 e S4 (12/10 a 25/10)</t>
  </si>
  <si>
    <t xml:space="preserve">Telas de insumos, saldo disponível e movimentações de entrada/saída.</t>
  </si>
  <si>
    <t xml:space="preserve">Ocorrências - Frontend</t>
  </si>
  <si>
    <t xml:space="preserve">Registrar pragas, falhas e imprevistos dá histórico para decisões nas próximas safras.</t>
  </si>
  <si>
    <t xml:space="preserve">S4 (19/10 a 25/10)</t>
  </si>
  <si>
    <t xml:space="preserve">Tela de registro de ocorrências com upload de foto e timeline de acompanhamento.</t>
  </si>
  <si>
    <t xml:space="preserve">Custos - Frontend</t>
  </si>
  <si>
    <t xml:space="preserve">Mostrar o custo por safra/talhão é o principal ganho gerencial prometido pelo sistema.</t>
  </si>
  <si>
    <t xml:space="preserve">Telas de lançamento de custos e indicadores por safra, talhão e categoria.</t>
  </si>
  <si>
    <t xml:space="preserve">Complementares - Frontend (notificações, perfil, upload de fotos, relatórios)</t>
  </si>
  <si>
    <t xml:space="preserve">Completam a experiência de uso, mas não bloqueiam os fluxos principais.</t>
  </si>
  <si>
    <t xml:space="preserve">Dev Front 2 + líder técnico</t>
  </si>
  <si>
    <t xml:space="preserve">Telas de alertas, dados de perfil, upload de imagens e relatórios básicos.</t>
  </si>
  <si>
    <t xml:space="preserve">Camada intermediária Node.js + TypeScript</t>
  </si>
  <si>
    <t xml:space="preserve">É o canal entre o site e o servidor Java; sem ela nenhuma tela consegue consumir a API.</t>
  </si>
  <si>
    <t xml:space="preserve">Camada Node.js + TypeScript</t>
  </si>
  <si>
    <t xml:space="preserve">Líder técnico + Dev Back 2</t>
  </si>
  <si>
    <t xml:space="preserve">S5 (26/10 a 01/11)</t>
  </si>
  <si>
    <t xml:space="preserve">Setup do projeto Node com TypeScript, rotas base, tratamento de erro e cliente HTTP de acesso ao servidor Java.</t>
  </si>
  <si>
    <t xml:space="preserve">Login - Autenticação (Backend)</t>
  </si>
  <si>
    <t xml:space="preserve">Sem autenticação no servidor, nenhum outro endpoint pode ser liberado com segurança.</t>
  </si>
  <si>
    <t xml:space="preserve">Servidor Java (API e regras de negócio)</t>
  </si>
  <si>
    <t xml:space="preserve">Dev Back 1</t>
  </si>
  <si>
    <t xml:space="preserve">Endpoint de autenticação no servidor Java, geração de sessão/token e regras de acesso, repassados pela camada Node/TypeScript.</t>
  </si>
  <si>
    <t xml:space="preserve">Propriedades - Backend</t>
  </si>
  <si>
    <t xml:space="preserve">Dá persistência real ao primeiro nível da hierarquia do sistema.</t>
  </si>
  <si>
    <t xml:space="preserve">CRUD de propriedades e regras de vínculo com talhões.</t>
  </si>
  <si>
    <t xml:space="preserve">Talhões - Backend</t>
  </si>
  <si>
    <t xml:space="preserve">Todos os módulos de operação dependem do talhão persistido.</t>
  </si>
  <si>
    <t xml:space="preserve">Dev Back 2</t>
  </si>
  <si>
    <t xml:space="preserve">CRUD de talhões e integração com propriedades.</t>
  </si>
  <si>
    <t xml:space="preserve">Safras e culturas - Backend</t>
  </si>
  <si>
    <t xml:space="preserve">Garante que o ciclo produtivo fique registrado e possa ser consultado depois.</t>
  </si>
  <si>
    <t xml:space="preserve">S6 (02/11 a 08/11)</t>
  </si>
  <si>
    <t xml:space="preserve">CRUD de safras, vínculo com talhões e culturas e controle de status do ciclo.</t>
  </si>
  <si>
    <t xml:space="preserve">Atividades - Backend</t>
  </si>
  <si>
    <t xml:space="preserve">Sustenta o acompanhamento diário do trabalho na propriedade.</t>
  </si>
  <si>
    <t xml:space="preserve">CRUD de atividades e regras de status (agendada &gt; em andamento &gt; concluída).</t>
  </si>
  <si>
    <t xml:space="preserve">Estoque - Backend</t>
  </si>
  <si>
    <t xml:space="preserve">Regras de saldo e estoque mínimo precisam ficar no servidor para manter consistência.</t>
  </si>
  <si>
    <t xml:space="preserve">CRUD de estoque, movimentações de entrada/saída/ajuste e regra de estoque mínimo.</t>
  </si>
  <si>
    <t xml:space="preserve">Ocorrências - Backend</t>
  </si>
  <si>
    <t xml:space="preserve">Permite manter o histórico de problemas da lavoura entre safras.</t>
  </si>
  <si>
    <t xml:space="preserve">S7 (09/11 a 15/11)</t>
  </si>
  <si>
    <t xml:space="preserve">CRUD de ocorrências e regras de status (aberta &gt; em acompanhamento &gt; resolvida).</t>
  </si>
  <si>
    <t xml:space="preserve">Custos - Backend</t>
  </si>
  <si>
    <t xml:space="preserve">Os indicadores gerenciais só têm valor se forem calculados sobre dados reais.</t>
  </si>
  <si>
    <t xml:space="preserve">CRUD de custos e cálculo dos indicadores gerenciais por safra/talhão/categoria.</t>
  </si>
  <si>
    <t xml:space="preserve">Dashboard - Indicadores integrados</t>
  </si>
  <si>
    <t xml:space="preserve">É a tela de maior impacto na apresentação final e mostra o sistema funcionando de ponta a ponta.</t>
  </si>
  <si>
    <t xml:space="preserve">Servidor Java (API e regras de negócio) + Node/TS + front-end</t>
  </si>
  <si>
    <t xml:space="preserve">Dev Back 2 + Dev Front 2</t>
  </si>
  <si>
    <t xml:space="preserve">Consultas de indicadores no servidor Java sobre o MongoDB, expostas pela camada Node/TS e consumidas pelo painel.</t>
  </si>
  <si>
    <t xml:space="preserve">Complementares - Backend (notificações, perfil, upload de fotos, relatórios)</t>
  </si>
  <si>
    <t xml:space="preserve">Fecham as funcionalidades de apoio já criadas no frontend.</t>
  </si>
  <si>
    <t xml:space="preserve">Líder técnico</t>
  </si>
  <si>
    <t xml:space="preserve">Endpoints de notificações, perfil, upload de imagens e relatórios no servidor Java, com as rotas correspondentes no Node/TS.</t>
  </si>
  <si>
    <t xml:space="preserve">Integração frontend-backend (todos os módulos)</t>
  </si>
  <si>
    <t xml:space="preserve">É o ponto de maior risco do cronograma: sem integração não há MVP para entregar.</t>
  </si>
  <si>
    <t xml:space="preserve">Ambiente de homologação (front, Node/TS e servidor Java)</t>
  </si>
  <si>
    <t xml:space="preserve">Toda a equipe</t>
  </si>
  <si>
    <t xml:space="preserve">S7 e S8 (09/11 a 20/11)</t>
  </si>
  <si>
    <t xml:space="preserve">Troca dos dados simulados pelas rotas Node/TypeScript ligadas ao servidor Java e validação dos fluxos de ponta a ponta.</t>
  </si>
  <si>
    <t xml:space="preserve">≈ 20 h (equipe)</t>
  </si>
  <si>
    <t xml:space="preserve">Testes gerais e correção de bugs</t>
  </si>
  <si>
    <t xml:space="preserve">Evita que falhas apareçam durante a apresentação e a avaliação do projeto.</t>
  </si>
  <si>
    <t xml:space="preserve">Toda a equipe (revisão: líder técnico)</t>
  </si>
  <si>
    <t xml:space="preserve">S8 (16/11 a 20/11)</t>
  </si>
  <si>
    <t xml:space="preserve">Roteiro de testes dos fluxos essenciais, registro dos bugs encontrados e correção por prioridade.</t>
  </si>
  <si>
    <t xml:space="preserve">≈ 16 h (equipe)</t>
  </si>
  <si>
    <t xml:space="preserve">Ajustes finais de backend e performance</t>
  </si>
  <si>
    <t xml:space="preserve">Garante consistência dos dados e resposta aceitável na demonstração.</t>
  </si>
  <si>
    <t xml:space="preserve">Revisão das regras de negócio no servidor Java, otimização das consultas ao MongoDB e checagem de consistência dos dados.</t>
  </si>
  <si>
    <t xml:space="preserve">Deploy, documentação e apresentação</t>
  </si>
  <si>
    <t xml:space="preserve">É a entrega formal do Projeto Integrador; sem ela o trabalho não é avaliado.</t>
  </si>
  <si>
    <t xml:space="preserve">Ambiente de produção/homologação + documentação</t>
  </si>
  <si>
    <t xml:space="preserve">Publicação do site, da camada Node/TS e do servidor Java, escrita da documentação técnica e preparação da apresentação.</t>
  </si>
  <si>
    <t xml:space="preserve">≈ 12 h (equipe)</t>
  </si>
  <si>
    <t xml:space="preserve">Legenda e critérios</t>
  </si>
  <si>
    <t xml:space="preserve">• Priorização GUT: G = Gravidade, U = Urgência, T = Tendência. Cada um recebe nota de 1 a 5 e a coluna GUT é o produto G × U × T (mínimo 1, máximo 125). Quanto maior o GUT, maior a prioridade.</t>
  </si>
  <si>
    <t xml:space="preserve">• Escala sugerida de 1 a 5. 1: muito baixa | 2: baixa | 3: média | 4: alta | 5: muito alta.</t>
  </si>
  <si>
    <t xml:space="preserve">• Células amarelas são para preenchimento/atualização da equipe (Situação, G, U e T). A coluna GUT é calculada por fórmula; não digitar valores nela.</t>
  </si>
  <si>
    <t xml:space="preserve">• Situação: escolher na lista (A iniciar / Em andamento / Concluído / Atrasado).</t>
  </si>
  <si>
    <t xml:space="preserve">• Premissa da coluna "Quanto?": estimativa de horas de trabalho por entrega, feita a partir do cronograma de 8 semanas; não houve custo financeiro informado. Ajustar conforme a realidade da equipe.</t>
  </si>
  <si>
    <t xml:space="preserve">• Premissa da coluna "Quem?": papéis genéricos (Dev Front 1 e 2, Dev Back 1 e 2, líder técnico) para a equipe de 5 integrantes. Substituir pelos nomes reais.</t>
  </si>
  <si>
    <t xml:space="preserve">• Stack definida pela equipe: front-end em HTML e CSS, camada intermediária em Node.js + TypeScript, servidor principal em Java e banco de dados MongoDB.</t>
  </si>
  <si>
    <t xml:space="preserve">• Fonte dos itens, datas e descrições: planilha AgroGestão (Cronograma de Desenvolvimento do MVP) (28/09 a 20/11/2026). A entrega da camada Node/TypeScript foi acrescentada por não constar no cronograma original.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</si>
</sst>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44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11" min="9" style="0" width="5"/>
    <col collapsed="false" customWidth="true" hidden="false" outlineLevel="0" max="12" min="12" style="0" width="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 t="s">
        <v>2</v>
      </c>
      <c r="G2" s="2"/>
      <c r="H2" s="2" t="s">
        <v>3</v>
      </c>
      <c r="I2" s="2" t="s">
        <v>4</v>
      </c>
      <c r="J2" s="2"/>
      <c r="K2" s="2"/>
      <c r="L2" s="2"/>
    </row>
    <row r="3" customFormat="false" ht="19.5" hidden="false" customHeight="true" outlineLevel="0" collapsed="false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/>
      <c r="I3" s="2"/>
      <c r="J3" s="2"/>
      <c r="K3" s="2"/>
      <c r="L3" s="2"/>
    </row>
    <row r="4" customFormat="false" ht="19.5" hidden="false" customHeight="true" outlineLevel="0" collapsed="false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22</v>
      </c>
      <c r="L4" s="2" t="s">
        <v>23</v>
      </c>
    </row>
    <row r="5" customFormat="false" ht="45.75" hidden="false" customHeight="true" outlineLevel="0" collapsed="false">
      <c r="A5" s="3" t="s">
        <v>24</v>
      </c>
      <c r="B5" s="3" t="s">
        <v>25</v>
      </c>
      <c r="C5" s="4" t="s">
        <v>26</v>
      </c>
      <c r="D5" s="4" t="s">
        <v>27</v>
      </c>
      <c r="E5" s="4" t="s">
        <v>28</v>
      </c>
      <c r="F5" s="3" t="s">
        <v>29</v>
      </c>
      <c r="G5" s="4" t="s">
        <v>30</v>
      </c>
      <c r="H5" s="5" t="s">
        <v>31</v>
      </c>
      <c r="I5" s="5" t="n">
        <v>5</v>
      </c>
      <c r="J5" s="5" t="n">
        <v>5</v>
      </c>
      <c r="K5" s="5" t="n">
        <v>5</v>
      </c>
      <c r="L5" s="6" t="n">
        <f aca="false">I5*J5*K5</f>
        <v>125</v>
      </c>
    </row>
    <row r="6" customFormat="false" ht="45.75" hidden="false" customHeight="true" outlineLevel="0" collapsed="false">
      <c r="A6" s="3" t="s">
        <v>32</v>
      </c>
      <c r="B6" s="3" t="s">
        <v>33</v>
      </c>
      <c r="C6" s="4" t="s">
        <v>34</v>
      </c>
      <c r="D6" s="4" t="s">
        <v>35</v>
      </c>
      <c r="E6" s="4" t="s">
        <v>28</v>
      </c>
      <c r="F6" s="3" t="s">
        <v>36</v>
      </c>
      <c r="G6" s="4" t="s">
        <v>37</v>
      </c>
      <c r="H6" s="5" t="s">
        <v>31</v>
      </c>
      <c r="I6" s="5" t="n">
        <v>5</v>
      </c>
      <c r="J6" s="5" t="n">
        <v>5</v>
      </c>
      <c r="K6" s="5" t="n">
        <v>4</v>
      </c>
      <c r="L6" s="6" t="n">
        <f aca="false">I6*J6*K6</f>
        <v>100</v>
      </c>
    </row>
    <row r="7" customFormat="false" ht="45.75" hidden="false" customHeight="true" outlineLevel="0" collapsed="false">
      <c r="A7" s="3" t="s">
        <v>38</v>
      </c>
      <c r="B7" s="3" t="s">
        <v>39</v>
      </c>
      <c r="C7" s="4" t="s">
        <v>40</v>
      </c>
      <c r="D7" s="4" t="s">
        <v>41</v>
      </c>
      <c r="E7" s="4" t="s">
        <v>28</v>
      </c>
      <c r="F7" s="3" t="s">
        <v>42</v>
      </c>
      <c r="G7" s="4" t="s">
        <v>43</v>
      </c>
      <c r="H7" s="5" t="s">
        <v>31</v>
      </c>
      <c r="I7" s="5" t="n">
        <v>4</v>
      </c>
      <c r="J7" s="5" t="n">
        <v>5</v>
      </c>
      <c r="K7" s="5" t="n">
        <v>4</v>
      </c>
      <c r="L7" s="6" t="n">
        <f aca="false">I7*J7*K7</f>
        <v>80</v>
      </c>
    </row>
    <row r="8" customFormat="false" ht="45.75" hidden="false" customHeight="true" outlineLevel="0" collapsed="false">
      <c r="A8" s="3" t="s">
        <v>44</v>
      </c>
      <c r="B8" s="3" t="s">
        <v>45</v>
      </c>
      <c r="C8" s="4" t="s">
        <v>46</v>
      </c>
      <c r="D8" s="4" t="s">
        <v>47</v>
      </c>
      <c r="E8" s="4" t="s">
        <v>28</v>
      </c>
      <c r="F8" s="3" t="s">
        <v>48</v>
      </c>
      <c r="G8" s="4" t="s">
        <v>43</v>
      </c>
      <c r="H8" s="5" t="s">
        <v>31</v>
      </c>
      <c r="I8" s="5" t="n">
        <v>5</v>
      </c>
      <c r="J8" s="5" t="n">
        <v>5</v>
      </c>
      <c r="K8" s="5" t="n">
        <v>4</v>
      </c>
      <c r="L8" s="6" t="n">
        <f aca="false">I8*J8*K8</f>
        <v>100</v>
      </c>
    </row>
    <row r="9" customFormat="false" ht="45.75" hidden="false" customHeight="true" outlineLevel="0" collapsed="false">
      <c r="A9" s="3" t="s">
        <v>49</v>
      </c>
      <c r="B9" s="3" t="s">
        <v>50</v>
      </c>
      <c r="C9" s="4" t="s">
        <v>51</v>
      </c>
      <c r="D9" s="4" t="s">
        <v>52</v>
      </c>
      <c r="E9" s="4" t="s">
        <v>53</v>
      </c>
      <c r="F9" s="3" t="s">
        <v>54</v>
      </c>
      <c r="G9" s="4" t="s">
        <v>55</v>
      </c>
      <c r="H9" s="5" t="s">
        <v>31</v>
      </c>
      <c r="I9" s="5" t="n">
        <v>4</v>
      </c>
      <c r="J9" s="5" t="n">
        <v>4</v>
      </c>
      <c r="K9" s="5" t="n">
        <v>3</v>
      </c>
      <c r="L9" s="6" t="n">
        <f aca="false">I9*J9*K9</f>
        <v>48</v>
      </c>
    </row>
    <row r="10" customFormat="false" ht="45.75" hidden="false" customHeight="true" outlineLevel="0" collapsed="false">
      <c r="A10" s="3" t="s">
        <v>56</v>
      </c>
      <c r="B10" s="3" t="s">
        <v>57</v>
      </c>
      <c r="C10" s="4" t="s">
        <v>51</v>
      </c>
      <c r="D10" s="4" t="s">
        <v>58</v>
      </c>
      <c r="E10" s="4" t="s">
        <v>53</v>
      </c>
      <c r="F10" s="3" t="s">
        <v>59</v>
      </c>
      <c r="G10" s="4" t="s">
        <v>60</v>
      </c>
      <c r="H10" s="5" t="s">
        <v>31</v>
      </c>
      <c r="I10" s="5" t="n">
        <v>4</v>
      </c>
      <c r="J10" s="5" t="n">
        <v>3</v>
      </c>
      <c r="K10" s="5" t="n">
        <v>3</v>
      </c>
      <c r="L10" s="6" t="n">
        <f aca="false">I10*J10*K10</f>
        <v>36</v>
      </c>
    </row>
    <row r="11" customFormat="false" ht="45.75" hidden="false" customHeight="true" outlineLevel="0" collapsed="false">
      <c r="A11" s="3" t="s">
        <v>61</v>
      </c>
      <c r="B11" s="3" t="s">
        <v>62</v>
      </c>
      <c r="C11" s="4" t="s">
        <v>51</v>
      </c>
      <c r="D11" s="4" t="s">
        <v>52</v>
      </c>
      <c r="E11" s="4" t="s">
        <v>53</v>
      </c>
      <c r="F11" s="3" t="s">
        <v>63</v>
      </c>
      <c r="G11" s="4" t="s">
        <v>37</v>
      </c>
      <c r="H11" s="5" t="s">
        <v>31</v>
      </c>
      <c r="I11" s="5" t="n">
        <v>4</v>
      </c>
      <c r="J11" s="5" t="n">
        <v>4</v>
      </c>
      <c r="K11" s="5" t="n">
        <v>3</v>
      </c>
      <c r="L11" s="6" t="n">
        <f aca="false">I11*J11*K11</f>
        <v>48</v>
      </c>
    </row>
    <row r="12" customFormat="false" ht="45.75" hidden="false" customHeight="true" outlineLevel="0" collapsed="false">
      <c r="A12" s="3" t="s">
        <v>64</v>
      </c>
      <c r="B12" s="3" t="s">
        <v>65</v>
      </c>
      <c r="C12" s="4" t="s">
        <v>51</v>
      </c>
      <c r="D12" s="4" t="s">
        <v>58</v>
      </c>
      <c r="E12" s="4" t="s">
        <v>66</v>
      </c>
      <c r="F12" s="3" t="s">
        <v>67</v>
      </c>
      <c r="G12" s="4" t="s">
        <v>43</v>
      </c>
      <c r="H12" s="5" t="s">
        <v>31</v>
      </c>
      <c r="I12" s="5" t="n">
        <v>4</v>
      </c>
      <c r="J12" s="5" t="n">
        <v>4</v>
      </c>
      <c r="K12" s="5" t="n">
        <v>3</v>
      </c>
      <c r="L12" s="6" t="n">
        <f aca="false">I12*J12*K12</f>
        <v>48</v>
      </c>
    </row>
    <row r="13" customFormat="false" ht="45.75" hidden="false" customHeight="true" outlineLevel="0" collapsed="false">
      <c r="A13" s="3" t="s">
        <v>68</v>
      </c>
      <c r="B13" s="3" t="s">
        <v>69</v>
      </c>
      <c r="C13" s="4" t="s">
        <v>51</v>
      </c>
      <c r="D13" s="4" t="s">
        <v>52</v>
      </c>
      <c r="E13" s="4" t="s">
        <v>70</v>
      </c>
      <c r="F13" s="3" t="s">
        <v>71</v>
      </c>
      <c r="G13" s="4" t="s">
        <v>60</v>
      </c>
      <c r="H13" s="5" t="s">
        <v>31</v>
      </c>
      <c r="I13" s="5" t="n">
        <v>4</v>
      </c>
      <c r="J13" s="5" t="n">
        <v>3</v>
      </c>
      <c r="K13" s="5" t="n">
        <v>3</v>
      </c>
      <c r="L13" s="6" t="n">
        <f aca="false">I13*J13*K13</f>
        <v>36</v>
      </c>
    </row>
    <row r="14" customFormat="false" ht="45.75" hidden="false" customHeight="true" outlineLevel="0" collapsed="false">
      <c r="A14" s="3" t="s">
        <v>72</v>
      </c>
      <c r="B14" s="3" t="s">
        <v>73</v>
      </c>
      <c r="C14" s="4" t="s">
        <v>51</v>
      </c>
      <c r="D14" s="4" t="s">
        <v>58</v>
      </c>
      <c r="E14" s="4" t="s">
        <v>70</v>
      </c>
      <c r="F14" s="3" t="s">
        <v>74</v>
      </c>
      <c r="G14" s="4" t="s">
        <v>60</v>
      </c>
      <c r="H14" s="5" t="s">
        <v>31</v>
      </c>
      <c r="I14" s="5" t="n">
        <v>4</v>
      </c>
      <c r="J14" s="5" t="n">
        <v>3</v>
      </c>
      <c r="K14" s="5" t="n">
        <v>3</v>
      </c>
      <c r="L14" s="6" t="n">
        <f aca="false">I14*J14*K14</f>
        <v>36</v>
      </c>
    </row>
    <row r="15" customFormat="false" ht="45.75" hidden="false" customHeight="true" outlineLevel="0" collapsed="false">
      <c r="A15" s="3" t="s">
        <v>75</v>
      </c>
      <c r="B15" s="3" t="s">
        <v>76</v>
      </c>
      <c r="C15" s="4" t="s">
        <v>51</v>
      </c>
      <c r="D15" s="4" t="s">
        <v>52</v>
      </c>
      <c r="E15" s="4" t="s">
        <v>77</v>
      </c>
      <c r="F15" s="3" t="s">
        <v>78</v>
      </c>
      <c r="G15" s="4" t="s">
        <v>43</v>
      </c>
      <c r="H15" s="5" t="s">
        <v>31</v>
      </c>
      <c r="I15" s="5" t="n">
        <v>3</v>
      </c>
      <c r="J15" s="5" t="n">
        <v>3</v>
      </c>
      <c r="K15" s="5" t="n">
        <v>3</v>
      </c>
      <c r="L15" s="6" t="n">
        <f aca="false">I15*J15*K15</f>
        <v>27</v>
      </c>
    </row>
    <row r="16" customFormat="false" ht="45.75" hidden="false" customHeight="true" outlineLevel="0" collapsed="false">
      <c r="A16" s="3" t="s">
        <v>79</v>
      </c>
      <c r="B16" s="3" t="s">
        <v>80</v>
      </c>
      <c r="C16" s="4" t="s">
        <v>51</v>
      </c>
      <c r="D16" s="4" t="s">
        <v>58</v>
      </c>
      <c r="E16" s="4" t="s">
        <v>81</v>
      </c>
      <c r="F16" s="3" t="s">
        <v>82</v>
      </c>
      <c r="G16" s="4" t="s">
        <v>37</v>
      </c>
      <c r="H16" s="5" t="s">
        <v>31</v>
      </c>
      <c r="I16" s="5" t="n">
        <v>3</v>
      </c>
      <c r="J16" s="5" t="n">
        <v>3</v>
      </c>
      <c r="K16" s="5" t="n">
        <v>2</v>
      </c>
      <c r="L16" s="6" t="n">
        <f aca="false">I16*J16*K16</f>
        <v>18</v>
      </c>
    </row>
    <row r="17" customFormat="false" ht="45.75" hidden="false" customHeight="true" outlineLevel="0" collapsed="false">
      <c r="A17" s="3" t="s">
        <v>83</v>
      </c>
      <c r="B17" s="3" t="s">
        <v>84</v>
      </c>
      <c r="C17" s="4" t="s">
        <v>51</v>
      </c>
      <c r="D17" s="4" t="s">
        <v>52</v>
      </c>
      <c r="E17" s="4" t="s">
        <v>81</v>
      </c>
      <c r="F17" s="3" t="s">
        <v>85</v>
      </c>
      <c r="G17" s="4" t="s">
        <v>60</v>
      </c>
      <c r="H17" s="5" t="s">
        <v>31</v>
      </c>
      <c r="I17" s="5" t="n">
        <v>3</v>
      </c>
      <c r="J17" s="5" t="n">
        <v>3</v>
      </c>
      <c r="K17" s="5" t="n">
        <v>2</v>
      </c>
      <c r="L17" s="6" t="n">
        <f aca="false">I17*J17*K17</f>
        <v>18</v>
      </c>
    </row>
    <row r="18" customFormat="false" ht="45.75" hidden="false" customHeight="true" outlineLevel="0" collapsed="false">
      <c r="A18" s="3" t="s">
        <v>86</v>
      </c>
      <c r="B18" s="3" t="s">
        <v>87</v>
      </c>
      <c r="C18" s="4" t="s">
        <v>51</v>
      </c>
      <c r="D18" s="4" t="s">
        <v>88</v>
      </c>
      <c r="E18" s="4" t="s">
        <v>81</v>
      </c>
      <c r="F18" s="3" t="s">
        <v>89</v>
      </c>
      <c r="G18" s="4" t="s">
        <v>60</v>
      </c>
      <c r="H18" s="5" t="s">
        <v>31</v>
      </c>
      <c r="I18" s="5" t="n">
        <v>2</v>
      </c>
      <c r="J18" s="5" t="n">
        <v>3</v>
      </c>
      <c r="K18" s="5" t="n">
        <v>2</v>
      </c>
      <c r="L18" s="6" t="n">
        <f aca="false">I18*J18*K18</f>
        <v>12</v>
      </c>
    </row>
    <row r="19" customFormat="false" ht="45.75" hidden="false" customHeight="true" outlineLevel="0" collapsed="false">
      <c r="A19" s="3" t="s">
        <v>90</v>
      </c>
      <c r="B19" s="3" t="s">
        <v>91</v>
      </c>
      <c r="C19" s="4" t="s">
        <v>92</v>
      </c>
      <c r="D19" s="4" t="s">
        <v>93</v>
      </c>
      <c r="E19" s="4" t="s">
        <v>94</v>
      </c>
      <c r="F19" s="3" t="s">
        <v>95</v>
      </c>
      <c r="G19" s="4" t="s">
        <v>60</v>
      </c>
      <c r="H19" s="5" t="s">
        <v>31</v>
      </c>
      <c r="I19" s="5" t="n">
        <v>5</v>
      </c>
      <c r="J19" s="5" t="n">
        <v>5</v>
      </c>
      <c r="K19" s="5" t="n">
        <v>4</v>
      </c>
      <c r="L19" s="6" t="n">
        <f aca="false">I19*J19*K19</f>
        <v>100</v>
      </c>
    </row>
    <row r="20" customFormat="false" ht="45.75" hidden="false" customHeight="true" outlineLevel="0" collapsed="false">
      <c r="A20" s="3" t="s">
        <v>96</v>
      </c>
      <c r="B20" s="3" t="s">
        <v>97</v>
      </c>
      <c r="C20" s="4" t="s">
        <v>98</v>
      </c>
      <c r="D20" s="4" t="s">
        <v>99</v>
      </c>
      <c r="E20" s="4" t="s">
        <v>94</v>
      </c>
      <c r="F20" s="3" t="s">
        <v>100</v>
      </c>
      <c r="G20" s="4" t="s">
        <v>60</v>
      </c>
      <c r="H20" s="5" t="s">
        <v>31</v>
      </c>
      <c r="I20" s="5" t="n">
        <v>5</v>
      </c>
      <c r="J20" s="5" t="n">
        <v>5</v>
      </c>
      <c r="K20" s="5" t="n">
        <v>4</v>
      </c>
      <c r="L20" s="6" t="n">
        <f aca="false">I20*J20*K20</f>
        <v>100</v>
      </c>
    </row>
    <row r="21" customFormat="false" ht="45.75" hidden="false" customHeight="true" outlineLevel="0" collapsed="false">
      <c r="A21" s="3" t="s">
        <v>101</v>
      </c>
      <c r="B21" s="3" t="s">
        <v>102</v>
      </c>
      <c r="C21" s="4" t="s">
        <v>98</v>
      </c>
      <c r="D21" s="4" t="s">
        <v>99</v>
      </c>
      <c r="E21" s="4" t="s">
        <v>94</v>
      </c>
      <c r="F21" s="3" t="s">
        <v>103</v>
      </c>
      <c r="G21" s="4" t="s">
        <v>37</v>
      </c>
      <c r="H21" s="5" t="s">
        <v>31</v>
      </c>
      <c r="I21" s="5" t="n">
        <v>5</v>
      </c>
      <c r="J21" s="5" t="n">
        <v>4</v>
      </c>
      <c r="K21" s="5" t="n">
        <v>3</v>
      </c>
      <c r="L21" s="6" t="n">
        <f aca="false">I21*J21*K21</f>
        <v>60</v>
      </c>
    </row>
    <row r="22" customFormat="false" ht="45.75" hidden="false" customHeight="true" outlineLevel="0" collapsed="false">
      <c r="A22" s="3" t="s">
        <v>104</v>
      </c>
      <c r="B22" s="3" t="s">
        <v>105</v>
      </c>
      <c r="C22" s="4" t="s">
        <v>98</v>
      </c>
      <c r="D22" s="4" t="s">
        <v>106</v>
      </c>
      <c r="E22" s="4" t="s">
        <v>94</v>
      </c>
      <c r="F22" s="3" t="s">
        <v>107</v>
      </c>
      <c r="G22" s="4" t="s">
        <v>37</v>
      </c>
      <c r="H22" s="5" t="s">
        <v>31</v>
      </c>
      <c r="I22" s="5" t="n">
        <v>5</v>
      </c>
      <c r="J22" s="5" t="n">
        <v>4</v>
      </c>
      <c r="K22" s="5" t="n">
        <v>3</v>
      </c>
      <c r="L22" s="6" t="n">
        <f aca="false">I22*J22*K22</f>
        <v>60</v>
      </c>
    </row>
    <row r="23" customFormat="false" ht="45.75" hidden="false" customHeight="true" outlineLevel="0" collapsed="false">
      <c r="A23" s="3" t="s">
        <v>108</v>
      </c>
      <c r="B23" s="3" t="s">
        <v>109</v>
      </c>
      <c r="C23" s="4" t="s">
        <v>98</v>
      </c>
      <c r="D23" s="4" t="s">
        <v>99</v>
      </c>
      <c r="E23" s="4" t="s">
        <v>110</v>
      </c>
      <c r="F23" s="3" t="s">
        <v>111</v>
      </c>
      <c r="G23" s="4" t="s">
        <v>37</v>
      </c>
      <c r="H23" s="5" t="s">
        <v>31</v>
      </c>
      <c r="I23" s="5" t="n">
        <v>4</v>
      </c>
      <c r="J23" s="5" t="n">
        <v>4</v>
      </c>
      <c r="K23" s="5" t="n">
        <v>3</v>
      </c>
      <c r="L23" s="6" t="n">
        <f aca="false">I23*J23*K23</f>
        <v>48</v>
      </c>
    </row>
    <row r="24" customFormat="false" ht="45.75" hidden="false" customHeight="true" outlineLevel="0" collapsed="false">
      <c r="A24" s="3" t="s">
        <v>112</v>
      </c>
      <c r="B24" s="3" t="s">
        <v>113</v>
      </c>
      <c r="C24" s="4" t="s">
        <v>98</v>
      </c>
      <c r="D24" s="4" t="s">
        <v>106</v>
      </c>
      <c r="E24" s="4" t="s">
        <v>110</v>
      </c>
      <c r="F24" s="3" t="s">
        <v>114</v>
      </c>
      <c r="G24" s="4" t="s">
        <v>37</v>
      </c>
      <c r="H24" s="5" t="s">
        <v>31</v>
      </c>
      <c r="I24" s="5" t="n">
        <v>4</v>
      </c>
      <c r="J24" s="5" t="n">
        <v>4</v>
      </c>
      <c r="K24" s="5" t="n">
        <v>3</v>
      </c>
      <c r="L24" s="6" t="n">
        <f aca="false">I24*J24*K24</f>
        <v>48</v>
      </c>
    </row>
    <row r="25" customFormat="false" ht="45.75" hidden="false" customHeight="true" outlineLevel="0" collapsed="false">
      <c r="A25" s="3" t="s">
        <v>115</v>
      </c>
      <c r="B25" s="3" t="s">
        <v>116</v>
      </c>
      <c r="C25" s="4" t="s">
        <v>98</v>
      </c>
      <c r="D25" s="4" t="s">
        <v>99</v>
      </c>
      <c r="E25" s="4" t="s">
        <v>110</v>
      </c>
      <c r="F25" s="3" t="s">
        <v>117</v>
      </c>
      <c r="G25" s="4" t="s">
        <v>60</v>
      </c>
      <c r="H25" s="5" t="s">
        <v>31</v>
      </c>
      <c r="I25" s="5" t="n">
        <v>4</v>
      </c>
      <c r="J25" s="5" t="n">
        <v>4</v>
      </c>
      <c r="K25" s="5" t="n">
        <v>3</v>
      </c>
      <c r="L25" s="6" t="n">
        <f aca="false">I25*J25*K25</f>
        <v>48</v>
      </c>
    </row>
    <row r="26" customFormat="false" ht="45.75" hidden="false" customHeight="true" outlineLevel="0" collapsed="false">
      <c r="A26" s="3" t="s">
        <v>118</v>
      </c>
      <c r="B26" s="3" t="s">
        <v>119</v>
      </c>
      <c r="C26" s="4" t="s">
        <v>98</v>
      </c>
      <c r="D26" s="4" t="s">
        <v>106</v>
      </c>
      <c r="E26" s="4" t="s">
        <v>120</v>
      </c>
      <c r="F26" s="3" t="s">
        <v>121</v>
      </c>
      <c r="G26" s="4" t="s">
        <v>37</v>
      </c>
      <c r="H26" s="5" t="s">
        <v>31</v>
      </c>
      <c r="I26" s="5" t="n">
        <v>3</v>
      </c>
      <c r="J26" s="5" t="n">
        <v>4</v>
      </c>
      <c r="K26" s="5" t="n">
        <v>3</v>
      </c>
      <c r="L26" s="6" t="n">
        <f aca="false">I26*J26*K26</f>
        <v>36</v>
      </c>
    </row>
    <row r="27" customFormat="false" ht="45.75" hidden="false" customHeight="true" outlineLevel="0" collapsed="false">
      <c r="A27" s="3" t="s">
        <v>122</v>
      </c>
      <c r="B27" s="3" t="s">
        <v>123</v>
      </c>
      <c r="C27" s="4" t="s">
        <v>98</v>
      </c>
      <c r="D27" s="4" t="s">
        <v>99</v>
      </c>
      <c r="E27" s="4" t="s">
        <v>120</v>
      </c>
      <c r="F27" s="3" t="s">
        <v>124</v>
      </c>
      <c r="G27" s="4" t="s">
        <v>60</v>
      </c>
      <c r="H27" s="5" t="s">
        <v>31</v>
      </c>
      <c r="I27" s="5" t="n">
        <v>4</v>
      </c>
      <c r="J27" s="5" t="n">
        <v>4</v>
      </c>
      <c r="K27" s="5" t="n">
        <v>3</v>
      </c>
      <c r="L27" s="6" t="n">
        <f aca="false">I27*J27*K27</f>
        <v>48</v>
      </c>
    </row>
    <row r="28" customFormat="false" ht="45.75" hidden="false" customHeight="true" outlineLevel="0" collapsed="false">
      <c r="A28" s="3" t="s">
        <v>125</v>
      </c>
      <c r="B28" s="3" t="s">
        <v>126</v>
      </c>
      <c r="C28" s="4" t="s">
        <v>127</v>
      </c>
      <c r="D28" s="4" t="s">
        <v>128</v>
      </c>
      <c r="E28" s="4" t="s">
        <v>120</v>
      </c>
      <c r="F28" s="3" t="s">
        <v>129</v>
      </c>
      <c r="G28" s="4" t="s">
        <v>60</v>
      </c>
      <c r="H28" s="5" t="s">
        <v>31</v>
      </c>
      <c r="I28" s="5" t="n">
        <v>4</v>
      </c>
      <c r="J28" s="5" t="n">
        <v>4</v>
      </c>
      <c r="K28" s="5" t="n">
        <v>3</v>
      </c>
      <c r="L28" s="6" t="n">
        <f aca="false">I28*J28*K28</f>
        <v>48</v>
      </c>
    </row>
    <row r="29" customFormat="false" ht="45.75" hidden="false" customHeight="true" outlineLevel="0" collapsed="false">
      <c r="A29" s="3" t="s">
        <v>130</v>
      </c>
      <c r="B29" s="3" t="s">
        <v>131</v>
      </c>
      <c r="C29" s="4" t="s">
        <v>98</v>
      </c>
      <c r="D29" s="4" t="s">
        <v>132</v>
      </c>
      <c r="E29" s="4" t="s">
        <v>120</v>
      </c>
      <c r="F29" s="3" t="s">
        <v>133</v>
      </c>
      <c r="G29" s="4" t="s">
        <v>37</v>
      </c>
      <c r="H29" s="5" t="s">
        <v>31</v>
      </c>
      <c r="I29" s="5" t="n">
        <v>2</v>
      </c>
      <c r="J29" s="5" t="n">
        <v>3</v>
      </c>
      <c r="K29" s="5" t="n">
        <v>2</v>
      </c>
      <c r="L29" s="6" t="n">
        <f aca="false">I29*J29*K29</f>
        <v>12</v>
      </c>
    </row>
    <row r="30" customFormat="false" ht="45.75" hidden="false" customHeight="true" outlineLevel="0" collapsed="false">
      <c r="A30" s="3" t="s">
        <v>134</v>
      </c>
      <c r="B30" s="3" t="s">
        <v>135</v>
      </c>
      <c r="C30" s="4" t="s">
        <v>136</v>
      </c>
      <c r="D30" s="4" t="s">
        <v>137</v>
      </c>
      <c r="E30" s="4" t="s">
        <v>138</v>
      </c>
      <c r="F30" s="3" t="s">
        <v>139</v>
      </c>
      <c r="G30" s="4" t="s">
        <v>140</v>
      </c>
      <c r="H30" s="5" t="s">
        <v>31</v>
      </c>
      <c r="I30" s="5" t="n">
        <v>5</v>
      </c>
      <c r="J30" s="5" t="n">
        <v>5</v>
      </c>
      <c r="K30" s="5" t="n">
        <v>5</v>
      </c>
      <c r="L30" s="6" t="n">
        <f aca="false">I30*J30*K30</f>
        <v>125</v>
      </c>
    </row>
    <row r="31" customFormat="false" ht="45.75" hidden="false" customHeight="true" outlineLevel="0" collapsed="false">
      <c r="A31" s="3" t="s">
        <v>141</v>
      </c>
      <c r="B31" s="3" t="s">
        <v>142</v>
      </c>
      <c r="C31" s="4" t="s">
        <v>136</v>
      </c>
      <c r="D31" s="4" t="s">
        <v>143</v>
      </c>
      <c r="E31" s="4" t="s">
        <v>144</v>
      </c>
      <c r="F31" s="3" t="s">
        <v>145</v>
      </c>
      <c r="G31" s="4" t="s">
        <v>146</v>
      </c>
      <c r="H31" s="5" t="s">
        <v>31</v>
      </c>
      <c r="I31" s="5" t="n">
        <v>5</v>
      </c>
      <c r="J31" s="5" t="n">
        <v>5</v>
      </c>
      <c r="K31" s="5" t="n">
        <v>5</v>
      </c>
      <c r="L31" s="6" t="n">
        <f aca="false">I31*J31*K31</f>
        <v>125</v>
      </c>
    </row>
    <row r="32" customFormat="false" ht="45.75" hidden="false" customHeight="true" outlineLevel="0" collapsed="false">
      <c r="A32" s="3" t="s">
        <v>147</v>
      </c>
      <c r="B32" s="3" t="s">
        <v>148</v>
      </c>
      <c r="C32" s="4" t="s">
        <v>98</v>
      </c>
      <c r="D32" s="4" t="s">
        <v>47</v>
      </c>
      <c r="E32" s="4" t="s">
        <v>144</v>
      </c>
      <c r="F32" s="3" t="s">
        <v>149</v>
      </c>
      <c r="G32" s="4" t="s">
        <v>37</v>
      </c>
      <c r="H32" s="5" t="s">
        <v>31</v>
      </c>
      <c r="I32" s="5" t="n">
        <v>4</v>
      </c>
      <c r="J32" s="5" t="n">
        <v>5</v>
      </c>
      <c r="K32" s="5" t="n">
        <v>4</v>
      </c>
      <c r="L32" s="6" t="n">
        <f aca="false">I32*J32*K32</f>
        <v>80</v>
      </c>
    </row>
    <row r="33" customFormat="false" ht="45.75" hidden="false" customHeight="true" outlineLevel="0" collapsed="false">
      <c r="A33" s="3" t="s">
        <v>150</v>
      </c>
      <c r="B33" s="3" t="s">
        <v>151</v>
      </c>
      <c r="C33" s="4" t="s">
        <v>152</v>
      </c>
      <c r="D33" s="4" t="s">
        <v>137</v>
      </c>
      <c r="E33" s="4" t="s">
        <v>144</v>
      </c>
      <c r="F33" s="3" t="s">
        <v>153</v>
      </c>
      <c r="G33" s="4" t="s">
        <v>154</v>
      </c>
      <c r="H33" s="5" t="s">
        <v>31</v>
      </c>
      <c r="I33" s="5" t="n">
        <v>5</v>
      </c>
      <c r="J33" s="5" t="n">
        <v>5</v>
      </c>
      <c r="K33" s="5" t="n">
        <v>5</v>
      </c>
      <c r="L33" s="6" t="n">
        <f aca="false">I33*J33*K33</f>
        <v>125</v>
      </c>
    </row>
    <row r="34" customFormat="false" ht="30" hidden="false" customHeight="true" outlineLevel="0" collapsed="false">
      <c r="A34" s="3"/>
      <c r="B34" s="3"/>
      <c r="C34" s="4"/>
      <c r="D34" s="4"/>
      <c r="E34" s="4"/>
      <c r="F34" s="3"/>
      <c r="G34" s="4"/>
      <c r="H34" s="5"/>
      <c r="I34" s="5"/>
      <c r="J34" s="5"/>
      <c r="K34" s="5"/>
      <c r="L34" s="6" t="str">
        <f aca="false">IF(COUNT(I34:K34)=3,I34*J34*K34,"")</f>
        <v/>
      </c>
    </row>
    <row r="35" customFormat="false" ht="30" hidden="false" customHeight="true" outlineLevel="0" collapsed="false">
      <c r="A35" s="3"/>
      <c r="B35" s="3"/>
      <c r="C35" s="4"/>
      <c r="D35" s="4"/>
      <c r="E35" s="4"/>
      <c r="F35" s="3"/>
      <c r="G35" s="4"/>
      <c r="H35" s="5"/>
      <c r="I35" s="5"/>
      <c r="J35" s="5"/>
      <c r="K35" s="5"/>
      <c r="L35" s="6" t="str">
        <f aca="false">IF(COUNT(I35:K35)=3,I35*J35*K35,"")</f>
        <v/>
      </c>
    </row>
    <row r="36" customFormat="false" ht="30" hidden="false" customHeight="true" outlineLevel="0" collapsed="false">
      <c r="A36" s="3"/>
      <c r="B36" s="3"/>
      <c r="C36" s="4"/>
      <c r="D36" s="4"/>
      <c r="E36" s="4"/>
      <c r="F36" s="3"/>
      <c r="G36" s="4"/>
      <c r="H36" s="5"/>
      <c r="I36" s="5"/>
      <c r="J36" s="5"/>
      <c r="K36" s="5"/>
      <c r="L36" s="6" t="str">
        <f aca="false">IF(COUNT(I36:K36)=3,I36*J36*K36,"")</f>
        <v/>
      </c>
    </row>
    <row r="37" customFormat="false" ht="30" hidden="false" customHeight="true" outlineLevel="0" collapsed="false">
      <c r="A37" s="3"/>
      <c r="B37" s="3"/>
      <c r="C37" s="4"/>
      <c r="D37" s="4"/>
      <c r="E37" s="4"/>
      <c r="F37" s="3"/>
      <c r="G37" s="4"/>
      <c r="H37" s="5"/>
      <c r="I37" s="5"/>
      <c r="J37" s="5"/>
      <c r="K37" s="5"/>
      <c r="L37" s="6" t="str">
        <f aca="false">IF(COUNT(I37:K37)=3,I37*J37*K37,"")</f>
        <v/>
      </c>
    </row>
    <row r="38" customFormat="false" ht="30" hidden="false" customHeight="true" outlineLevel="0" collapsed="false">
      <c r="A38" s="3"/>
      <c r="B38" s="3"/>
      <c r="C38" s="4"/>
      <c r="D38" s="4"/>
      <c r="E38" s="4"/>
      <c r="F38" s="3"/>
      <c r="G38" s="4"/>
      <c r="H38" s="5"/>
      <c r="I38" s="5"/>
      <c r="J38" s="5"/>
      <c r="K38" s="5"/>
      <c r="L38" s="6" t="str">
        <f aca="false">IF(COUNT(I38:K38)=3,I38*J38*K38,"")</f>
        <v/>
      </c>
    </row>
    <row r="39" customFormat="false" ht="30" hidden="false" customHeight="true" outlineLevel="0" collapsed="false">
      <c r="A39" s="3"/>
      <c r="B39" s="3"/>
      <c r="C39" s="4"/>
      <c r="D39" s="4"/>
      <c r="E39" s="4"/>
      <c r="F39" s="3"/>
      <c r="G39" s="4"/>
      <c r="H39" s="5"/>
      <c r="I39" s="5"/>
      <c r="J39" s="5"/>
      <c r="K39" s="5"/>
      <c r="L39" s="6" t="str">
        <f aca="false">IF(COUNT(I39:K39)=3,I39*J39*K39,"")</f>
        <v/>
      </c>
    </row>
    <row r="40" customFormat="false" ht="30" hidden="false" customHeight="true" outlineLevel="0" collapsed="false">
      <c r="A40" s="3"/>
      <c r="B40" s="3"/>
      <c r="C40" s="4"/>
      <c r="D40" s="4"/>
      <c r="E40" s="4"/>
      <c r="F40" s="3"/>
      <c r="G40" s="4"/>
      <c r="H40" s="5"/>
      <c r="I40" s="5"/>
      <c r="J40" s="5"/>
      <c r="K40" s="5"/>
      <c r="L40" s="6" t="str">
        <f aca="false">IF(COUNT(I40:K40)=3,I40*J40*K40,"")</f>
        <v/>
      </c>
    </row>
    <row r="41" customFormat="false" ht="30" hidden="false" customHeight="true" outlineLevel="0" collapsed="false">
      <c r="A41" s="3"/>
      <c r="B41" s="3"/>
      <c r="C41" s="4"/>
      <c r="D41" s="4"/>
      <c r="E41" s="4"/>
      <c r="F41" s="3"/>
      <c r="G41" s="4"/>
      <c r="H41" s="5"/>
      <c r="I41" s="5"/>
      <c r="J41" s="5"/>
      <c r="K41" s="5"/>
      <c r="L41" s="6" t="str">
        <f aca="false">IF(COUNT(I41:K41)=3,I41*J41*K41,"")</f>
        <v/>
      </c>
    </row>
    <row r="42" customFormat="false" ht="30" hidden="false" customHeight="true" outlineLevel="0" collapsed="false">
      <c r="A42" s="3"/>
      <c r="B42" s="3"/>
      <c r="C42" s="4"/>
      <c r="D42" s="4"/>
      <c r="E42" s="4"/>
      <c r="F42" s="3"/>
      <c r="G42" s="4"/>
      <c r="H42" s="5"/>
      <c r="I42" s="5"/>
      <c r="J42" s="5"/>
      <c r="K42" s="5"/>
      <c r="L42" s="6" t="str">
        <f aca="false">IF(COUNT(I42:K42)=3,I42*J42*K42,"")</f>
        <v/>
      </c>
    </row>
    <row r="43" customFormat="false" ht="30" hidden="false" customHeight="true" outlineLevel="0" collapsed="false">
      <c r="A43" s="3"/>
      <c r="B43" s="3"/>
      <c r="C43" s="4"/>
      <c r="D43" s="4"/>
      <c r="E43" s="4"/>
      <c r="F43" s="3"/>
      <c r="G43" s="4"/>
      <c r="H43" s="5"/>
      <c r="I43" s="5"/>
      <c r="J43" s="5"/>
      <c r="K43" s="5"/>
      <c r="L43" s="6" t="str">
        <f aca="false">IF(COUNT(I43:K43)=3,I43*J43*K43,"")</f>
        <v/>
      </c>
    </row>
    <row r="44" customFormat="false" ht="30" hidden="false" customHeight="true" outlineLevel="0" collapsed="false">
      <c r="A44" s="3"/>
      <c r="B44" s="3"/>
      <c r="C44" s="4"/>
      <c r="D44" s="4"/>
      <c r="E44" s="4"/>
      <c r="F44" s="3"/>
      <c r="G44" s="4"/>
      <c r="H44" s="5"/>
      <c r="I44" s="5"/>
      <c r="J44" s="5"/>
      <c r="K44" s="5"/>
      <c r="L44" s="6" t="str">
        <f aca="false">IF(COUNT(I44:K44)=3,I44*J44*K44,"")</f>
        <v/>
      </c>
    </row>
    <row r="45" customFormat="false" ht="30" hidden="false" customHeight="true" outlineLevel="0" collapsed="false">
      <c r="A45" s="3"/>
      <c r="B45" s="3"/>
      <c r="C45" s="4"/>
      <c r="D45" s="4"/>
      <c r="E45" s="4"/>
      <c r="F45" s="3"/>
      <c r="G45" s="4"/>
      <c r="H45" s="5"/>
      <c r="I45" s="5"/>
      <c r="J45" s="5"/>
      <c r="K45" s="5"/>
      <c r="L45" s="6" t="str">
        <f aca="false">IF(COUNT(I45:K45)=3,I45*J45*K45,"")</f>
        <v/>
      </c>
    </row>
    <row r="47" customFormat="false" ht="15" hidden="false" customHeight="false" outlineLevel="0" collapsed="false">
      <c r="A47" s="7" t="s">
        <v>155</v>
      </c>
    </row>
    <row r="48" customFormat="false" ht="25.5" hidden="false" customHeight="true" outlineLevel="0" collapsed="false">
      <c r="A48" s="8" t="s">
        <v>156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</row>
    <row r="49" customFormat="false" ht="25.5" hidden="false" customHeight="true" outlineLevel="0" collapsed="false">
      <c r="A49" s="8" t="s">
        <v>157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</row>
    <row r="50" customFormat="false" ht="25.5" hidden="false" customHeight="true" outlineLevel="0" collapsed="false">
      <c r="A50" s="8" t="s">
        <v>158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</row>
    <row r="51" customFormat="false" ht="25.5" hidden="false" customHeight="true" outlineLevel="0" collapsed="false">
      <c r="A51" s="8" t="s">
        <v>159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</row>
    <row r="52" customFormat="false" ht="25.5" hidden="false" customHeight="true" outlineLevel="0" collapsed="false">
      <c r="A52" s="8" t="s">
        <v>160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</row>
    <row r="53" customFormat="false" ht="25.5" hidden="false" customHeight="true" outlineLevel="0" collapsed="false">
      <c r="A53" s="8" t="s">
        <v>161</v>
      </c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</row>
    <row r="54" customFormat="false" ht="25.5" hidden="false" customHeight="true" outlineLevel="0" collapsed="false">
      <c r="A54" s="8" t="s">
        <v>162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</row>
    <row r="55" customFormat="false" ht="25.5" hidden="false" customHeight="true" outlineLevel="0" collapsed="false">
      <c r="A55" s="8" t="s">
        <v>163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</row>
  </sheetData>
  <autoFilter ref="A4:L33"/>
  <mergeCells count="13">
    <mergeCell ref="A1:L1"/>
    <mergeCell ref="A2:E2"/>
    <mergeCell ref="F2:G2"/>
    <mergeCell ref="H2:H3"/>
    <mergeCell ref="I2:L3"/>
    <mergeCell ref="A48:L48"/>
    <mergeCell ref="A49:L49"/>
    <mergeCell ref="A50:L50"/>
    <mergeCell ref="A51:L51"/>
    <mergeCell ref="A52:L52"/>
    <mergeCell ref="A53:L53"/>
    <mergeCell ref="A54:L54"/>
    <mergeCell ref="A55:L55"/>
  </mergeCells>
  <dataValidations count="2">
    <dataValidation allowBlank="true" errorStyle="stop" operator="between" showDropDown="false" showErrorMessage="false" showInputMessage="false" sqref="H5:H45" type="list">
      <formula1>"A iniciar,Em andamento,Concluído,Atrasado"</formula1>
      <formula2>0</formula2>
    </dataValidation>
    <dataValidation allowBlank="true" errorStyle="stop" operator="between" showDropDown="false" showErrorMessage="false" showInputMessage="false" sqref="I5:K45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2026-09-09T13:48:02Z</dcterms:created>
  <dc:creator>openpyxl</dc:creator>
  <dc:description/>
  <dc:language>en-US</dc:language>
  <cp:lastModifiedBy/>
  <dcterms:modified xsi:type="dcterms:W3CDTF">2026-09-09T13:48:02Z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